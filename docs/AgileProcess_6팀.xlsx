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hale-project\docs\"/>
    </mc:Choice>
  </mc:AlternateContent>
  <xr:revisionPtr revIDLastSave="0" documentId="13_ncr:1_{FEC69958-0CC5-493C-A50E-8BE7C0FCC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 Definition" sheetId="1" r:id="rId1"/>
    <sheet name="Product Backlog" sheetId="2" r:id="rId2"/>
    <sheet name="Sprint Backlog" sheetId="3" r:id="rId3"/>
    <sheet name="BurndownChar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E14" i="4"/>
  <c r="E13" i="4"/>
  <c r="E12" i="4"/>
  <c r="E11" i="4"/>
  <c r="E10" i="4"/>
  <c r="E9" i="4"/>
  <c r="E8" i="4"/>
  <c r="E7" i="4"/>
  <c r="B7" i="4"/>
  <c r="B8" i="4" s="1"/>
  <c r="B9" i="4" s="1"/>
  <c r="B10" i="4" s="1"/>
  <c r="B11" i="4" s="1"/>
  <c r="B12" i="4" s="1"/>
  <c r="B13" i="4" s="1"/>
  <c r="B14" i="4" s="1"/>
  <c r="B15" i="4" s="1"/>
  <c r="E6" i="4"/>
</calcChain>
</file>

<file path=xl/sharedStrings.xml><?xml version="1.0" encoding="utf-8"?>
<sst xmlns="http://schemas.openxmlformats.org/spreadsheetml/2006/main" count="86" uniqueCount="74">
  <si>
    <t xml:space="preserve">Backlog NO. </t>
  </si>
  <si>
    <t>메인 메뉴</t>
  </si>
  <si>
    <t>Sub-1 메뉴</t>
  </si>
  <si>
    <t>Demo Scenario (데모가 시작되어 끝날때 행위 그대로 작성함)</t>
  </si>
  <si>
    <t>상태</t>
  </si>
  <si>
    <t>도커 실행</t>
  </si>
  <si>
    <t>1. 로컬에 있는 whale-project 폴더 열기 
2. 위쪽 주소창을 클릭하고 "cmd"를 입력해 터미널을 연다.
3. cmd 창에 "docker compose up" 입력
4. 도커가 작동되는 모습이 출력된다.</t>
  </si>
  <si>
    <t>완료</t>
  </si>
  <si>
    <t>수집기</t>
  </si>
  <si>
    <t>1. 로컬에 있는 whale-project 폴더 열기 
2. 위쪽 주소창을 클릭하고 "cmd"를 입력해 터미널을 연다.
3. cmd 창에 "cd collector" 입력
4. cmd 창에 "python main.py" 입력                                                                     5. 거래 내역이 수집되는 모습이 출력된다</t>
  </si>
  <si>
    <t>분석기</t>
  </si>
  <si>
    <t>1. 로컬에 있는 whale-project 폴더 열기 
2. 위쪽 주소창을 클릭하고 "cmd"를 입력해 터미널을 연다.
3. cmd 창에 "cd analyzer" 입력
4. cmd 창에 "python analyzer.py" 입력                                                                     5. 거래 내역이 분석되어 수집되는 모습이 출력된다</t>
  </si>
  <si>
    <t>홈페이지 보기</t>
  </si>
  <si>
    <t xml:space="preserve">1. 로컬에 있는 whale-project 폴더 열기 
2. 위쪽 주소창을 클릭하고 "cmd"를 입력해 터미널을 연다.
3. cmd 창에 "cd backend" 입력
4. cmd 창에 "uvicorn server:app --reload --host 0.0.0.0 --port 8000" 입력                                                                     5. 다시 whale-project 폴더 열기
6. frontend 폴더 더블 클릭
7. index.html 더블 클릭
8. 연결을 기다리면 화면(코인 선택 드롭다운, 표시 화폐 전환 버튼(KRW/USD), 실시간 환율, 고래 기준 슬라이더, 실시간 가격(기준가 대비/등락률), 24H 고래 매수액(누적/건수), 고래 매수 강도(변동률), 타임프레임 선택 버튼(1초/1분/30분/1시간), 실시간 차트, 실시간 고래 활동 로그(시간·구분·가격·수량·총액), 더보기 버튼, 실시간 연결 상태 표시)이 출력됨 
</t>
  </si>
  <si>
    <t>로그인/회원가입</t>
  </si>
  <si>
    <t>1. 백로그 4번 실행
2. 화면 오른쪽 위 "회원가입" 버튼을 클릭한다
3. 아이디(3자 이상), 이메일, 비밀번호(6자 이상)를 입력하고 "가입하기"를 클릭한다
4. 가입 완료 후 자동으로 로그인되며 오른쪽 위에 아이디가 표시된다
5. 아이디를 클릭하면 회원정보 페이지(아이디/이메일/가입일)로 이동한다
6. 로그아웃 후 "로그인" 버튼을 클릭하여 다시 로그인한다</t>
  </si>
  <si>
    <t>차트 변환</t>
  </si>
  <si>
    <t>1. 백로그 4번을 실행한다 
2. 기본값인 라인 차트가 표시된다
3. [캔들스틱] 버튼을 클릭한다
4. 차트가 캔들스틱 형태로 전환된다
5. 차트 위에 마우스를 올리면 시가/고가/저가/종가가 툴팁으로 표시된다
6. 다시 [라인] 버튼을 클릭하면 기존 라인 차트로 돌아온다</t>
  </si>
  <si>
    <t>특정 고래 거래 상세 조회</t>
  </si>
  <si>
    <t>1. 백로그 4번 실행
2. 실시간 고래 활동 로그에서 특정 거래 행을 클릭한다
3. 팝업이 열리며 해당 거래 이후 1분/5분 뒤 실제 가격 변화가 표시된다
4. 매수 거래라면 이후 상승/하락 여부, 등락률이 함께 표시된다</t>
  </si>
  <si>
    <t>시간대별 고래 활동 통계</t>
  </si>
  <si>
    <t>1. index.html 더블 클릭
2. 시간대별 고래 활동 통계 섹션을 확인한다
3. 오늘 0시~23시 중 고래 거래가 많았던 시간대가 바 차트로 표시된다
4. 특정 시간대 바를 클릭하면 해당 시간의 고래 거래 건수와 총액이 표시된다</t>
  </si>
  <si>
    <t>날짜별 고래 히스토리 조회</t>
  </si>
  <si>
    <t>1. index.html 더블 클릭
2. 날짜 선택 달력에서 과거 날짜를 선택한다
3. 선택한 날짜의 고래 활동 로그가 표시된다
4. 해당 날짜의 고래 거래 건수, 총 매수/매도액이 함께 표시된다</t>
  </si>
  <si>
    <t>가격 예측 대시보드 연동</t>
  </si>
  <si>
    <t>1. index.html 파일을 클릭한다
2. 실시간 고래 활동 로그에서 고래 거래 행을 클릭하여 상세 모달을 연다
3. 모달 하단에 AI 가격 예측 영역이 표시된다
4. 1분/5분/30분 후 예측 방향(▲상승/▼하락), 신뢰도(HIGH/MED/LOW) 및 예측 근거(매수 강도, 거래량 이상치)가 함께 표시된다
5. 5분마다 자동 업데이트되어 최신 예측 결과로 갱신된다</t>
  </si>
  <si>
    <t>예정</t>
  </si>
  <si>
    <t>슬랙 알림</t>
  </si>
  <si>
    <t>유저별 웹훅 등록 및 고래 감지 알림 전송</t>
  </si>
  <si>
    <t>1. 로그인 후 프로필 페이지로 이동한다
2. 슬랙 웹훅 URL 입력란에 본인의 슬랙 채널 웹훅 URL을 입력하고 저장 버튼을 클릭한다
3. 고래 거래(1억 원 이상) 발생 시 등록된 슬랙 채널에 알림이 자동으로 전송된다
4. 슬랙 메시지에 코인명, 거래금액, 매수/매도 방향, AI 예측 결과(1분/5분/30분 방향 및 신뢰도)가 카드 형태로 표시된다
5. 웹훅 URL을 삭제하면 알림 전송이 중단된다</t>
  </si>
  <si>
    <t>미완</t>
  </si>
  <si>
    <t>백테스팅</t>
  </si>
  <si>
    <t>AI 예측 수익률 시뮬레이션</t>
  </si>
  <si>
    <t>1. index.html을 열고 상단 메뉴에서 [백테스팅] 탭을 클릭한다
2. BTC/ETH 코인을 선택하고 타임프레임(1분/5분/30분)을 선택한다
3. AI 예측 신호를 따랐을 경우의 누적 수익률 곡선이 차트로 표시된다
4. 승률, 총 거래 횟수, 최대 손실폭(MDD), 누적 수익률 수치가 카드 형태로 상단에 표시된다
5. 만약 1,000,000원으로 시작했다면 현재 얼마인지 시뮬레이션 결과가 표시된다</t>
  </si>
  <si>
    <t>Date</t>
  </si>
  <si>
    <t>Sprint No.</t>
  </si>
  <si>
    <t>Backlog No.</t>
  </si>
  <si>
    <t>1,2,3</t>
  </si>
  <si>
    <t>5,6,7</t>
  </si>
  <si>
    <t>8,9</t>
  </si>
  <si>
    <t>17,18</t>
  </si>
  <si>
    <t>19,20,26,27</t>
  </si>
  <si>
    <t>21,22,28</t>
  </si>
  <si>
    <t>Minor MileStone</t>
  </si>
  <si>
    <t>업비트-Kafka-DB 파이프라인 구축 및 데이터 중복 방지 로직 적용</t>
  </si>
  <si>
    <t>FastAPI 및 WebSocket 기반의 실시간 가상화폐 대량 거래 탐지 및 시각화 시스템 구현</t>
  </si>
  <si>
    <t>차트 고도화(캔들/라인 전환) 및 고래 거래 상세 분석 기능 구현</t>
  </si>
  <si>
    <t>시간대별 고래 활동 통계 및 히스토리 조회 기능 구현</t>
  </si>
  <si>
    <t>피처 엔지니어링 및 고래 거래 후 가격 방향 예측 모델 학습/평가 완료</t>
  </si>
  <si>
    <t>고래 거래 후 가격 방향 예측 API 개발 및 대시보드 연동 완료</t>
  </si>
  <si>
    <t>슬랙 알림 연동 - 유저별 웹훅 등록 및 고래 감지 시 AI 예측 포함 알림 전송 완료</t>
  </si>
  <si>
    <t>백테스팅 대시보드 - AI 예측 수익률 시뮬레이션 및 승률 시각화 완료</t>
  </si>
  <si>
    <t>서비스 분리 및 Docker Compose 통합 실행</t>
  </si>
  <si>
    <t>CQRS 구조 정리 및 테스트 코드 작성</t>
  </si>
  <si>
    <t>AI 모델 학습 및 Prediction Service 통합 테스트</t>
  </si>
  <si>
    <t>Major MileStone</t>
  </si>
  <si>
    <t>실시간 고래 탐지 인프라 구축 및 대시보드 기능 고도화 완료</t>
  </si>
  <si>
    <t>고래 거래 이후 가격 방향 예측 모델 구축 및 대시보드 연동 완료</t>
  </si>
  <si>
    <t>AI 예측 모델 백테스팅 완료 및 성능 검증</t>
  </si>
  <si>
    <t xml:space="preserve">Sprint No. </t>
  </si>
  <si>
    <t>BackLog</t>
  </si>
  <si>
    <t>개발 리더(발표자)</t>
  </si>
  <si>
    <t>개발자 2</t>
  </si>
  <si>
    <t>개발자 3</t>
  </si>
  <si>
    <t xml:space="preserve">결과 </t>
  </si>
  <si>
    <t xml:space="preserve">완료 </t>
  </si>
  <si>
    <t>Release Burndown</t>
  </si>
  <si>
    <t>Only edit shaded columns, others are calculated</t>
  </si>
  <si>
    <t>Week</t>
  </si>
  <si>
    <t>Backlog</t>
  </si>
  <si>
    <t>Percent Complete</t>
  </si>
  <si>
    <t>Remaining</t>
  </si>
  <si>
    <t>Done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</si>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</sst>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7" fillId="4" borderId="0">
      <alignment vertical="center"/>
    </xf>
    <xf numFmtId="0" fontId="6" fillId="5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7" xfId="0" applyBorder="1">
      <alignment vertical="center"/>
    </xf>
    <xf numFmtId="0" fontId="3" fillId="0" borderId="0" xfId="1" applyFont="1"/>
    <xf numFmtId="0" fontId="4" fillId="0" borderId="0" xfId="1" applyFont="1"/>
    <xf numFmtId="0" fontId="4" fillId="3" borderId="0" xfId="1" applyFont="1" applyFill="1"/>
    <xf numFmtId="0" fontId="5" fillId="0" borderId="8" xfId="1" applyFont="1" applyBorder="1"/>
    <xf numFmtId="0" fontId="4" fillId="0" borderId="9" xfId="1" applyFont="1" applyBorder="1" applyAlignment="1">
      <alignment horizontal="right"/>
    </xf>
    <xf numFmtId="10" fontId="4" fillId="0" borderId="0" xfId="1" applyNumberFormat="1" applyFont="1"/>
    <xf numFmtId="0" fontId="4" fillId="0" borderId="10" xfId="1" applyFont="1" applyBorder="1" applyAlignment="1">
      <alignment horizontal="right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7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14" fontId="0" fillId="2" borderId="20" xfId="0" applyNumberFormat="1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14" fontId="0" fillId="2" borderId="24" xfId="0" applyNumberFormat="1" applyFill="1" applyBorder="1">
      <alignment vertical="center"/>
    </xf>
    <xf numFmtId="0" fontId="0" fillId="0" borderId="20" xfId="0" applyBorder="1">
      <alignment vertical="center"/>
    </xf>
    <xf numFmtId="0" fontId="7" fillId="0" borderId="0" xfId="2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0" fillId="0" borderId="25" xfId="0" applyBorder="1">
      <alignment vertical="center"/>
    </xf>
    <xf numFmtId="0" fontId="0" fillId="0" borderId="0" xfId="0" applyAlignment="1"/>
    <xf numFmtId="0" fontId="0" fillId="0" borderId="16" xfId="0" applyBorder="1" applyAlignment="1"/>
    <xf numFmtId="0" fontId="0" fillId="0" borderId="20" xfId="0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7" fillId="4" borderId="14" xfId="2" applyBorder="1" applyAlignment="1">
      <alignment horizontal="left" vertical="center"/>
    </xf>
    <xf numFmtId="0" fontId="6" fillId="5" borderId="14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/>
    <xf numFmtId="0" fontId="4" fillId="3" borderId="0" xfId="1" applyFont="1" applyFill="1"/>
    <xf numFmtId="0" fontId="4" fillId="0" borderId="0" xfId="1" applyFont="1"/>
    <xf numFmtId="0" fontId="5" fillId="0" borderId="8" xfId="1" applyFont="1" applyBorder="1"/>
    <xf numFmtId="0" fontId="0" fillId="0" borderId="8" xfId="0" applyBorder="1" applyAlignment="1"/>
    <xf numFmtId="0" fontId="5" fillId="0" borderId="8" xfId="1" applyFont="1" applyBorder="1" applyAlignment="1">
      <alignment wrapText="1"/>
    </xf>
    <xf numFmtId="0" fontId="5" fillId="0" borderId="0" xfId="1" applyFont="1"/>
  </cellXfs>
  <cellStyles count="4">
    <cellStyle name="40% - 강조색1" xfId="3" builtinId="31"/>
    <cellStyle name="강조색1" xfId="2" builtinId="29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 sz="2000">
                <a:latin typeface="Arial"/>
                <a:cs typeface="Arial"/>
              </a:defRPr>
            </a:pPr>
            <a:r>
              <a:rPr lang="en-US" sz="2000">
                <a:latin typeface="Arial"/>
                <a:cs typeface="Arial"/>
              </a:rPr>
              <a:t>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8421874008301"/>
          <c:y val="0.11915849687279199"/>
          <c:w val="0.84582022033975601"/>
          <c:h val="0.66913672990001005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BurndownCharts!$A$6:$A$15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BurndownCharts!$B$6:$B$15</c:f>
              <c:numCache>
                <c:formatCode>General</c:formatCode>
                <c:ptCount val="10"/>
                <c:pt idx="0">
                  <c:v>40</c:v>
                </c:pt>
                <c:pt idx="1">
                  <c:v>42</c:v>
                </c:pt>
                <c:pt idx="2">
                  <c:v>42</c:v>
                </c:pt>
                <c:pt idx="3">
                  <c:v>43</c:v>
                </c:pt>
                <c:pt idx="4">
                  <c:v>29</c:v>
                </c:pt>
                <c:pt idx="5">
                  <c:v>11</c:v>
                </c:pt>
                <c:pt idx="6">
                  <c:v>11</c:v>
                </c:pt>
                <c:pt idx="7">
                  <c:v>14</c:v>
                </c:pt>
                <c:pt idx="8">
                  <c:v>11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6-4696-8BA0-9203E62B8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</c:upBars>
          <c:downBars/>
        </c:upDownBars>
        <c:smooth val="0"/>
        <c:axId val="-1509243136"/>
        <c:axId val="-1507963120"/>
      </c:lineChart>
      <c:catAx>
        <c:axId val="-150924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itchFamily="34" charset="0"/>
                    <a:cs typeface="Arial" pitchFamily="34" charset="0"/>
                  </a:defRPr>
                </a:pPr>
                <a:r>
                  <a:rPr lang="en-AU" sz="1600">
                    <a:latin typeface="Arial" pitchFamily="34" charset="0"/>
                    <a:cs typeface="Arial" pitchFamily="34" charset="0"/>
                  </a:rPr>
                  <a:t>Sprint</a:t>
                </a:r>
              </a:p>
            </c:rich>
          </c:tx>
          <c:layout>
            <c:manualLayout>
              <c:xMode val="edge"/>
              <c:yMode val="edge"/>
              <c:x val="0.45184395336073702"/>
              <c:y val="0.86236358310790995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-1507963120"/>
        <c:crosses val="autoZero"/>
        <c:auto val="1"/>
        <c:lblAlgn val="ctr"/>
        <c:lblOffset val="100"/>
        <c:noMultiLvlLbl val="0"/>
      </c:catAx>
      <c:valAx>
        <c:axId val="-1507963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itchFamily="34" charset="0"/>
                    <a:cs typeface="Arial" pitchFamily="34" charset="0"/>
                  </a:defRPr>
                </a:pPr>
                <a:r>
                  <a:rPr lang="en-US"/>
                  <a:t>Backlog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50924313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333376</xdr:colOff>
      <xdr:row>0</xdr:row>
      <xdr:rowOff>104775</xdr:rowOff>
    </xdr:from>
    <xdr:to>
      <xdr:col>14</xdr:col>
      <xdr:colOff>1</xdr:colOff>
      <xdr:row>15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O6"/>
  <sheetViews>
    <sheetView tabSelected="1" zoomScaleNormal="100" workbookViewId="0">
      <selection activeCell="G5" sqref="G5"/>
    </sheetView>
  </sheetViews>
  <sheetFormatPr defaultRowHeight="17.399999999999999" x14ac:dyDescent="0.4"/>
  <cols>
    <col min="2" max="2" width="15.5" style="38" bestFit="1" customWidth="1"/>
    <col min="3" max="3" width="13.8984375" style="38" bestFit="1" customWidth="1"/>
    <col min="4" max="4" width="10.8984375" style="38" bestFit="1" customWidth="1"/>
    <col min="5" max="5" width="13.8984375" style="38" bestFit="1" customWidth="1"/>
    <col min="6" max="6" width="13.69921875" style="38" bestFit="1" customWidth="1"/>
    <col min="7" max="14" width="10.8984375" style="38" bestFit="1" customWidth="1"/>
  </cols>
  <sheetData>
    <row r="1" spans="2:15" ht="18" customHeight="1" thickBot="1" x14ac:dyDescent="0.45"/>
    <row r="2" spans="2:15" ht="18" customHeight="1" thickBot="1" x14ac:dyDescent="0.45">
      <c r="B2" s="3" t="s">
        <v>34</v>
      </c>
      <c r="C2" s="28">
        <v>46107</v>
      </c>
      <c r="D2" s="28">
        <v>46114</v>
      </c>
      <c r="E2" s="28">
        <v>46121</v>
      </c>
      <c r="F2" s="28">
        <v>46128</v>
      </c>
      <c r="G2" s="28">
        <v>46135</v>
      </c>
      <c r="H2" s="28">
        <v>46142</v>
      </c>
      <c r="I2" s="28">
        <v>46149</v>
      </c>
      <c r="J2" s="28">
        <v>46156</v>
      </c>
      <c r="K2" s="28">
        <v>46163</v>
      </c>
      <c r="L2" s="28">
        <v>46170</v>
      </c>
      <c r="M2" s="31">
        <v>46177</v>
      </c>
    </row>
    <row r="3" spans="2:15" ht="18" customHeight="1" thickBot="1" x14ac:dyDescent="0.45">
      <c r="B3" s="4" t="s">
        <v>35</v>
      </c>
      <c r="C3" s="26">
        <v>1</v>
      </c>
      <c r="D3" s="29">
        <v>2</v>
      </c>
      <c r="E3" s="26">
        <v>3</v>
      </c>
      <c r="F3" s="26">
        <v>4</v>
      </c>
      <c r="G3" s="26">
        <v>5</v>
      </c>
      <c r="H3" s="29">
        <v>6</v>
      </c>
      <c r="I3" s="27">
        <v>7</v>
      </c>
      <c r="J3" s="30">
        <v>8</v>
      </c>
      <c r="K3" s="26">
        <v>9</v>
      </c>
      <c r="L3" s="26">
        <v>10</v>
      </c>
      <c r="M3" s="26">
        <v>11</v>
      </c>
      <c r="N3"/>
    </row>
    <row r="4" spans="2:15" ht="18" customHeight="1" thickBot="1" x14ac:dyDescent="0.45">
      <c r="B4" s="2" t="s">
        <v>36</v>
      </c>
      <c r="C4" s="20" t="s">
        <v>37</v>
      </c>
      <c r="D4" s="21">
        <v>4</v>
      </c>
      <c r="E4" s="21" t="s">
        <v>38</v>
      </c>
      <c r="F4" s="22" t="s">
        <v>39</v>
      </c>
      <c r="G4" s="20">
        <v>10</v>
      </c>
      <c r="H4" s="21">
        <v>10</v>
      </c>
      <c r="I4" s="21">
        <v>11</v>
      </c>
      <c r="J4" s="23">
        <v>12</v>
      </c>
      <c r="K4" s="25" t="s">
        <v>40</v>
      </c>
      <c r="L4" s="23" t="s">
        <v>41</v>
      </c>
      <c r="M4" s="32" t="s">
        <v>42</v>
      </c>
      <c r="N4"/>
    </row>
    <row r="5" spans="2:15" ht="18" customHeight="1" thickBot="1" x14ac:dyDescent="0.45">
      <c r="B5" s="2" t="s">
        <v>43</v>
      </c>
      <c r="C5" s="16" t="s">
        <v>44</v>
      </c>
      <c r="D5" s="17" t="s">
        <v>45</v>
      </c>
      <c r="E5" s="17" t="s">
        <v>46</v>
      </c>
      <c r="F5" s="18" t="s">
        <v>47</v>
      </c>
      <c r="G5" s="16" t="s">
        <v>48</v>
      </c>
      <c r="H5" s="17" t="s">
        <v>49</v>
      </c>
      <c r="I5" s="17" t="s">
        <v>50</v>
      </c>
      <c r="J5" s="19" t="s">
        <v>51</v>
      </c>
      <c r="K5" s="17" t="s">
        <v>52</v>
      </c>
      <c r="L5" s="19" t="s">
        <v>53</v>
      </c>
      <c r="M5" s="32" t="s">
        <v>54</v>
      </c>
      <c r="N5" s="37"/>
    </row>
    <row r="6" spans="2:15" ht="18" customHeight="1" thickBot="1" x14ac:dyDescent="0.45">
      <c r="B6" s="15" t="s">
        <v>55</v>
      </c>
      <c r="C6" s="40" t="s">
        <v>56</v>
      </c>
      <c r="D6" s="41"/>
      <c r="E6" s="41"/>
      <c r="F6" s="42"/>
      <c r="G6" s="44" t="s">
        <v>57</v>
      </c>
      <c r="H6" s="41"/>
      <c r="I6" s="39"/>
      <c r="J6" s="43" t="s">
        <v>58</v>
      </c>
      <c r="K6" s="41"/>
      <c r="L6" s="41"/>
      <c r="M6" s="41"/>
      <c r="N6" s="41"/>
      <c r="O6" s="33"/>
    </row>
  </sheetData>
  <mergeCells count="3">
    <mergeCell ref="C6:F6"/>
    <mergeCell ref="J6:N6"/>
    <mergeCell ref="G6:H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opLeftCell="A11" zoomScale="130" zoomScaleNormal="130" workbookViewId="0">
      <selection activeCell="D5" sqref="A3:D5"/>
    </sheetView>
  </sheetViews>
  <sheetFormatPr defaultRowHeight="17.399999999999999" x14ac:dyDescent="0.4"/>
  <cols>
    <col min="1" max="1" width="10.8984375" style="38" customWidth="1"/>
    <col min="2" max="2" width="17.796875" style="38" customWidth="1"/>
    <col min="3" max="3" width="17.59765625" style="38" bestFit="1" customWidth="1"/>
    <col min="4" max="4" width="72.8984375" style="38" bestFit="1" customWidth="1"/>
    <col min="5" max="5" width="8.796875" style="3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s="24" t="s">
        <v>4</v>
      </c>
    </row>
    <row r="2" spans="1:5" ht="30" customHeight="1" x14ac:dyDescent="0.4">
      <c r="A2">
        <v>1</v>
      </c>
      <c r="B2" t="s">
        <v>5</v>
      </c>
      <c r="D2" s="6" t="s">
        <v>6</v>
      </c>
      <c r="E2" s="34" t="s">
        <v>7</v>
      </c>
    </row>
    <row r="3" spans="1:5" ht="87" customHeight="1" x14ac:dyDescent="0.4">
      <c r="A3">
        <v>2</v>
      </c>
      <c r="B3" t="s">
        <v>8</v>
      </c>
      <c r="D3" s="6" t="s">
        <v>9</v>
      </c>
      <c r="E3" s="34" t="s">
        <v>7</v>
      </c>
    </row>
    <row r="4" spans="1:5" ht="87" customHeight="1" x14ac:dyDescent="0.4">
      <c r="A4">
        <v>3</v>
      </c>
      <c r="B4" t="s">
        <v>10</v>
      </c>
      <c r="D4" s="6" t="s">
        <v>11</v>
      </c>
      <c r="E4" s="34" t="s">
        <v>7</v>
      </c>
    </row>
    <row r="5" spans="1:5" ht="87" customHeight="1" x14ac:dyDescent="0.4">
      <c r="A5" s="6">
        <v>4</v>
      </c>
      <c r="B5" s="36" t="s">
        <v>12</v>
      </c>
      <c r="C5" s="6"/>
      <c r="D5" s="6" t="s">
        <v>13</v>
      </c>
      <c r="E5" s="34" t="s">
        <v>7</v>
      </c>
    </row>
    <row r="6" spans="1:5" ht="7.95" customHeight="1" x14ac:dyDescent="0.4">
      <c r="A6">
        <v>5</v>
      </c>
      <c r="B6" t="s">
        <v>14</v>
      </c>
      <c r="D6" s="6" t="s">
        <v>15</v>
      </c>
      <c r="E6" s="35" t="s">
        <v>7</v>
      </c>
    </row>
    <row r="7" spans="1:5" ht="69.599999999999994" customHeight="1" x14ac:dyDescent="0.4">
      <c r="A7" s="6">
        <v>6</v>
      </c>
      <c r="B7" s="6" t="s">
        <v>12</v>
      </c>
      <c r="C7" s="6" t="s">
        <v>16</v>
      </c>
      <c r="D7" s="6" t="s">
        <v>17</v>
      </c>
      <c r="E7" s="34" t="s">
        <v>7</v>
      </c>
    </row>
    <row r="8" spans="1:5" ht="69.599999999999994" customHeight="1" x14ac:dyDescent="0.4">
      <c r="A8" s="6">
        <v>7</v>
      </c>
      <c r="B8" s="6" t="s">
        <v>12</v>
      </c>
      <c r="C8" s="6" t="s">
        <v>18</v>
      </c>
      <c r="D8" s="6" t="s">
        <v>19</v>
      </c>
      <c r="E8" s="34" t="s">
        <v>7</v>
      </c>
    </row>
    <row r="9" spans="1:5" ht="69.599999999999994" customHeight="1" x14ac:dyDescent="0.4">
      <c r="A9" s="6">
        <v>8</v>
      </c>
      <c r="B9" s="6" t="s">
        <v>20</v>
      </c>
      <c r="C9" s="6"/>
      <c r="D9" s="6" t="s">
        <v>21</v>
      </c>
      <c r="E9" s="34" t="s">
        <v>7</v>
      </c>
    </row>
    <row r="10" spans="1:5" ht="104.4" customHeight="1" x14ac:dyDescent="0.4">
      <c r="A10" s="6">
        <v>9</v>
      </c>
      <c r="B10" s="6" t="s">
        <v>22</v>
      </c>
      <c r="C10" s="6"/>
      <c r="D10" s="6" t="s">
        <v>23</v>
      </c>
      <c r="E10" s="34" t="s">
        <v>7</v>
      </c>
    </row>
    <row r="11" spans="1:5" ht="87" customHeight="1" x14ac:dyDescent="0.4">
      <c r="A11">
        <v>10</v>
      </c>
      <c r="B11" t="s">
        <v>24</v>
      </c>
      <c r="D11" s="6" t="s">
        <v>25</v>
      </c>
      <c r="E11" s="35" t="s">
        <v>26</v>
      </c>
    </row>
    <row r="12" spans="1:5" ht="87" customHeight="1" x14ac:dyDescent="0.4">
      <c r="A12" s="6">
        <v>11</v>
      </c>
      <c r="B12" s="6" t="s">
        <v>27</v>
      </c>
      <c r="C12" s="6" t="s">
        <v>28</v>
      </c>
      <c r="D12" s="6" t="s">
        <v>29</v>
      </c>
      <c r="E12" s="34" t="s">
        <v>30</v>
      </c>
    </row>
    <row r="13" spans="1:5" ht="87" customHeight="1" x14ac:dyDescent="0.4">
      <c r="A13" s="6">
        <v>12</v>
      </c>
      <c r="B13" s="6" t="s">
        <v>31</v>
      </c>
      <c r="C13" s="6" t="s">
        <v>32</v>
      </c>
      <c r="D13" s="6" t="s">
        <v>33</v>
      </c>
      <c r="E13" s="34" t="s">
        <v>30</v>
      </c>
    </row>
    <row r="14" spans="1:5" ht="87" customHeight="1" x14ac:dyDescent="0.4">
      <c r="A14" s="6"/>
      <c r="B14" s="6"/>
      <c r="C14" s="6"/>
      <c r="D14" s="6"/>
      <c r="E14" s="34"/>
    </row>
    <row r="15" spans="1:5" ht="104.4" customHeight="1" x14ac:dyDescent="0.4">
      <c r="A15" s="6"/>
      <c r="B15" s="6"/>
      <c r="C15" s="6"/>
      <c r="D15" s="6"/>
      <c r="E15" s="34"/>
    </row>
    <row r="16" spans="1:5" ht="104.4" customHeight="1" x14ac:dyDescent="0.4">
      <c r="A16" s="6"/>
      <c r="B16" s="6"/>
      <c r="C16" s="6"/>
      <c r="D16" s="6"/>
      <c r="E16" s="34"/>
    </row>
    <row r="17" spans="1:5" ht="104.4" customHeight="1" x14ac:dyDescent="0.4">
      <c r="A17" s="6"/>
      <c r="B17" s="6"/>
      <c r="C17" s="6"/>
      <c r="D17" s="6"/>
      <c r="E17" s="34"/>
    </row>
    <row r="18" spans="1:5" x14ac:dyDescent="0.4">
      <c r="A18" s="6"/>
      <c r="B18" s="6"/>
      <c r="C18" s="6"/>
      <c r="D18" s="6"/>
      <c r="E18" s="34"/>
    </row>
    <row r="19" spans="1:5" x14ac:dyDescent="0.4">
      <c r="A19" s="6"/>
      <c r="B19" s="6"/>
      <c r="C19" s="6"/>
      <c r="D19" s="6"/>
      <c r="E19" s="34"/>
    </row>
    <row r="20" spans="1:5" x14ac:dyDescent="0.4">
      <c r="A20" s="6"/>
      <c r="B20" s="6"/>
      <c r="C20" s="6"/>
      <c r="D20" s="6"/>
      <c r="E20" s="34"/>
    </row>
    <row r="21" spans="1:5" x14ac:dyDescent="0.4">
      <c r="A21" s="6"/>
      <c r="B21" s="6"/>
      <c r="C21" s="6"/>
      <c r="D21" s="6"/>
      <c r="E21" s="34"/>
    </row>
    <row r="22" spans="1:5" x14ac:dyDescent="0.4">
      <c r="A22" s="6"/>
      <c r="B22" s="6"/>
      <c r="C22" s="6"/>
      <c r="D22" s="6"/>
      <c r="E22" s="34"/>
    </row>
    <row r="23" spans="1:5" x14ac:dyDescent="0.4">
      <c r="A23" s="6"/>
      <c r="B23" s="6"/>
      <c r="C23" s="6"/>
      <c r="D23" s="6"/>
      <c r="E23" s="34"/>
    </row>
    <row r="24" spans="1:5" x14ac:dyDescent="0.4">
      <c r="A24" s="6"/>
      <c r="B24" s="6"/>
      <c r="C24" s="6"/>
      <c r="D24" s="6"/>
      <c r="E24" s="34"/>
    </row>
    <row r="25" spans="1:5" x14ac:dyDescent="0.4">
      <c r="A25" s="6"/>
      <c r="B25" s="6"/>
      <c r="C25" s="6"/>
      <c r="D25" s="6"/>
      <c r="E25" s="34"/>
    </row>
    <row r="26" spans="1:5" x14ac:dyDescent="0.4">
      <c r="A26" s="6"/>
      <c r="B26" s="6"/>
      <c r="C26" s="6"/>
      <c r="D26" s="6"/>
      <c r="E26" s="34"/>
    </row>
    <row r="27" spans="1:5" x14ac:dyDescent="0.4">
      <c r="A27" s="6"/>
      <c r="B27" s="6"/>
      <c r="C27" s="6"/>
      <c r="D27" s="6"/>
      <c r="E27" s="34"/>
    </row>
    <row r="28" spans="1:5" x14ac:dyDescent="0.4">
      <c r="A28" s="6"/>
      <c r="B28" s="6"/>
      <c r="C28" s="6"/>
      <c r="D28" s="6"/>
      <c r="E28" s="34"/>
    </row>
    <row r="29" spans="1:5" x14ac:dyDescent="0.4">
      <c r="A29" s="6"/>
      <c r="B29" s="6"/>
      <c r="C29" s="6"/>
      <c r="D29" s="6"/>
      <c r="E29" s="34"/>
    </row>
    <row r="30" spans="1:5" x14ac:dyDescent="0.4">
      <c r="A30" s="6"/>
      <c r="B30" s="6"/>
      <c r="C30" s="6"/>
      <c r="D30" s="6"/>
      <c r="E30" s="34"/>
    </row>
    <row r="31" spans="1:5" x14ac:dyDescent="0.4">
      <c r="A31" s="6"/>
      <c r="B31" s="6"/>
      <c r="C31" s="6"/>
      <c r="D31" s="6"/>
      <c r="E31" s="34"/>
    </row>
    <row r="32" spans="1:5" x14ac:dyDescent="0.4">
      <c r="A32" s="6"/>
      <c r="B32" s="6"/>
      <c r="C32" s="6"/>
      <c r="D32" s="6"/>
    </row>
    <row r="33" spans="1:4" x14ac:dyDescent="0.4">
      <c r="A33" s="24"/>
      <c r="B33" s="24"/>
      <c r="C33" s="24"/>
      <c r="D33" s="24"/>
    </row>
    <row r="34" spans="1:4" x14ac:dyDescent="0.4">
      <c r="A34" s="6"/>
      <c r="B34" s="6"/>
      <c r="C34" s="6"/>
      <c r="D34" s="6"/>
    </row>
    <row r="35" spans="1:4" x14ac:dyDescent="0.4">
      <c r="A35" s="6"/>
      <c r="B35" s="6"/>
      <c r="C35" s="6"/>
      <c r="D35" s="6"/>
    </row>
    <row r="36" spans="1:4" x14ac:dyDescent="0.4">
      <c r="A36" s="6"/>
      <c r="B36" s="6"/>
      <c r="C36" s="6"/>
      <c r="D36" s="6"/>
    </row>
    <row r="37" spans="1:4" x14ac:dyDescent="0.4">
      <c r="A37" s="6"/>
      <c r="B37" s="6"/>
      <c r="C37" s="6"/>
      <c r="D37" s="6"/>
    </row>
    <row r="38" spans="1:4" x14ac:dyDescent="0.4">
      <c r="A38" s="6"/>
      <c r="B38" s="6"/>
      <c r="C38" s="6"/>
      <c r="D38" s="6"/>
    </row>
    <row r="39" spans="1:4" x14ac:dyDescent="0.4">
      <c r="A39" s="6"/>
      <c r="B39" s="6"/>
      <c r="C39" s="6"/>
      <c r="D39" s="6"/>
    </row>
    <row r="40" spans="1:4" x14ac:dyDescent="0.4">
      <c r="A40" s="6"/>
      <c r="B40" s="6"/>
      <c r="C40" s="6"/>
      <c r="D40" s="6"/>
    </row>
    <row r="41" spans="1:4" x14ac:dyDescent="0.4">
      <c r="A41" s="6"/>
      <c r="B41" s="6"/>
      <c r="C41" s="6"/>
      <c r="D41" s="6"/>
    </row>
    <row r="42" spans="1:4" x14ac:dyDescent="0.4">
      <c r="A42" s="6"/>
      <c r="B42" s="6"/>
      <c r="C42" s="6"/>
      <c r="D42" s="6"/>
    </row>
    <row r="43" spans="1:4" x14ac:dyDescent="0.4">
      <c r="A43" s="6"/>
      <c r="B43" s="6"/>
      <c r="C43" s="6"/>
      <c r="D43" s="6"/>
    </row>
    <row r="44" spans="1:4" x14ac:dyDescent="0.4">
      <c r="A44" s="6"/>
      <c r="B44" s="6"/>
      <c r="C44" s="6"/>
      <c r="D44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"/>
  <sheetViews>
    <sheetView workbookViewId="0">
      <selection activeCell="I8" sqref="I8"/>
    </sheetView>
  </sheetViews>
  <sheetFormatPr defaultRowHeight="17.399999999999999" x14ac:dyDescent="0.4"/>
  <cols>
    <col min="2" max="2" width="10.19921875" style="38" bestFit="1" customWidth="1"/>
    <col min="3" max="3" width="8.3984375" style="38" bestFit="1" customWidth="1"/>
    <col min="4" max="4" width="16.09765625" style="38" bestFit="1" customWidth="1"/>
    <col min="5" max="5" width="13" style="38" customWidth="1"/>
    <col min="6" max="6" width="11.5" style="38" customWidth="1"/>
  </cols>
  <sheetData>
    <row r="2" spans="2:7" x14ac:dyDescent="0.4"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7" t="s">
        <v>64</v>
      </c>
    </row>
    <row r="3" spans="2:7" x14ac:dyDescent="0.4">
      <c r="B3" s="45">
        <v>1</v>
      </c>
      <c r="C3" s="1">
        <v>1</v>
      </c>
      <c r="D3" s="5"/>
      <c r="E3" s="5"/>
      <c r="F3" s="5"/>
      <c r="G3" t="s">
        <v>65</v>
      </c>
    </row>
    <row r="4" spans="2:7" x14ac:dyDescent="0.4">
      <c r="B4" s="46"/>
      <c r="C4" s="1">
        <v>3</v>
      </c>
      <c r="D4" s="5"/>
      <c r="E4" s="5"/>
      <c r="F4" s="5"/>
      <c r="G4" t="s">
        <v>65</v>
      </c>
    </row>
  </sheetData>
  <mergeCells count="1">
    <mergeCell ref="B3:B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="150" workbookViewId="0">
      <selection activeCell="B6" sqref="B6"/>
    </sheetView>
  </sheetViews>
  <sheetFormatPr defaultColWidth="8.8984375" defaultRowHeight="13.2" x14ac:dyDescent="0.25"/>
  <cols>
    <col min="1" max="1" width="8.8984375" style="9" customWidth="1"/>
    <col min="2" max="2" width="10.8984375" style="9" bestFit="1" customWidth="1"/>
    <col min="3" max="3" width="9.5" style="9" bestFit="1" customWidth="1"/>
    <col min="4" max="4" width="9.09765625" style="9" customWidth="1"/>
    <col min="5" max="5" width="11.09765625" style="9" customWidth="1"/>
    <col min="6" max="14" width="8.8984375" style="9" customWidth="1"/>
    <col min="15" max="16384" width="8.8984375" style="9"/>
  </cols>
  <sheetData>
    <row r="1" spans="1:5" ht="24.6" customHeight="1" x14ac:dyDescent="0.4">
      <c r="A1" s="8" t="s">
        <v>66</v>
      </c>
    </row>
    <row r="2" spans="1:5" x14ac:dyDescent="0.25">
      <c r="A2" s="47" t="s">
        <v>67</v>
      </c>
      <c r="B2" s="48"/>
      <c r="C2" s="48"/>
      <c r="D2" s="48"/>
    </row>
    <row r="4" spans="1:5" ht="15" customHeight="1" x14ac:dyDescent="0.25">
      <c r="A4" s="49" t="s">
        <v>68</v>
      </c>
      <c r="B4" s="52" t="s">
        <v>69</v>
      </c>
      <c r="C4" s="48"/>
      <c r="D4" s="48"/>
      <c r="E4" s="51" t="s">
        <v>70</v>
      </c>
    </row>
    <row r="5" spans="1:5" ht="13.8" customHeight="1" thickBot="1" x14ac:dyDescent="0.3">
      <c r="A5" s="50"/>
      <c r="B5" s="11" t="s">
        <v>71</v>
      </c>
      <c r="C5" s="11" t="s">
        <v>72</v>
      </c>
      <c r="D5" s="11" t="s">
        <v>73</v>
      </c>
      <c r="E5" s="50"/>
    </row>
    <row r="6" spans="1:5" x14ac:dyDescent="0.25">
      <c r="A6" s="12">
        <v>1</v>
      </c>
      <c r="B6" s="10">
        <v>40</v>
      </c>
      <c r="C6" s="10">
        <v>1</v>
      </c>
      <c r="D6" s="9">
        <v>3</v>
      </c>
      <c r="E6" s="13">
        <f>SUM(C6)/($B$6+SUM(D6))</f>
        <v>2.3255813953488372E-2</v>
      </c>
    </row>
    <row r="7" spans="1:5" x14ac:dyDescent="0.25">
      <c r="A7" s="14">
        <v>2</v>
      </c>
      <c r="B7" s="10">
        <f t="shared" ref="B7:B15" si="0">B6-C6+D6</f>
        <v>42</v>
      </c>
      <c r="C7" s="10">
        <v>10</v>
      </c>
      <c r="D7" s="9">
        <v>10</v>
      </c>
      <c r="E7" s="13">
        <f>SUM(C6:C7)/($B$6+SUM(D6:D7))</f>
        <v>0.20754716981132076</v>
      </c>
    </row>
    <row r="8" spans="1:5" x14ac:dyDescent="0.25">
      <c r="A8" s="14">
        <v>3</v>
      </c>
      <c r="B8" s="10">
        <f t="shared" si="0"/>
        <v>42</v>
      </c>
      <c r="C8" s="10">
        <v>12</v>
      </c>
      <c r="D8" s="9">
        <v>13</v>
      </c>
      <c r="E8" s="13">
        <f>SUM(C6:C8)/($B$6+SUM(D6:D8))</f>
        <v>0.34848484848484851</v>
      </c>
    </row>
    <row r="9" spans="1:5" x14ac:dyDescent="0.25">
      <c r="A9" s="14">
        <v>4</v>
      </c>
      <c r="B9" s="10">
        <f t="shared" si="0"/>
        <v>43</v>
      </c>
      <c r="C9" s="10">
        <v>17</v>
      </c>
      <c r="D9" s="9">
        <v>3</v>
      </c>
      <c r="E9" s="13">
        <f>SUM(C6:C9)/($B$6+SUM(D6:D9))</f>
        <v>0.57971014492753625</v>
      </c>
    </row>
    <row r="10" spans="1:5" x14ac:dyDescent="0.25">
      <c r="A10" s="14">
        <v>5</v>
      </c>
      <c r="B10" s="10">
        <f t="shared" si="0"/>
        <v>29</v>
      </c>
      <c r="C10" s="10">
        <v>20</v>
      </c>
      <c r="D10" s="9">
        <v>2</v>
      </c>
      <c r="E10" s="13">
        <f>SUM(C6:C10)/($B$6+SUM(D6:D10))</f>
        <v>0.84507042253521125</v>
      </c>
    </row>
    <row r="11" spans="1:5" x14ac:dyDescent="0.25">
      <c r="A11" s="14">
        <v>6</v>
      </c>
      <c r="B11" s="10">
        <f t="shared" si="0"/>
        <v>11</v>
      </c>
      <c r="C11" s="10">
        <v>10</v>
      </c>
      <c r="D11" s="9">
        <v>10</v>
      </c>
      <c r="E11" s="13">
        <f>SUM(C6:C11)/($B$6+SUM(D6:D11))</f>
        <v>0.86419753086419748</v>
      </c>
    </row>
    <row r="12" spans="1:5" x14ac:dyDescent="0.25">
      <c r="A12" s="14">
        <v>7</v>
      </c>
      <c r="B12" s="10">
        <f t="shared" si="0"/>
        <v>11</v>
      </c>
      <c r="C12" s="10">
        <v>1</v>
      </c>
      <c r="D12" s="9">
        <v>4</v>
      </c>
      <c r="E12" s="13">
        <f>SUM(C6:C12)/($B$6+SUM(D6:D12))</f>
        <v>0.83529411764705885</v>
      </c>
    </row>
    <row r="13" spans="1:5" x14ac:dyDescent="0.25">
      <c r="A13" s="14">
        <v>8</v>
      </c>
      <c r="B13" s="10">
        <f t="shared" si="0"/>
        <v>14</v>
      </c>
      <c r="C13" s="10">
        <v>5</v>
      </c>
      <c r="D13" s="9">
        <v>2</v>
      </c>
      <c r="E13" s="13">
        <f>SUM(C6:C13)/($B$6+SUM(D6:D13))</f>
        <v>0.87356321839080464</v>
      </c>
    </row>
    <row r="14" spans="1:5" x14ac:dyDescent="0.25">
      <c r="A14" s="14">
        <v>9</v>
      </c>
      <c r="B14" s="10">
        <f t="shared" si="0"/>
        <v>11</v>
      </c>
      <c r="C14" s="10">
        <v>6</v>
      </c>
      <c r="D14" s="9">
        <v>1</v>
      </c>
      <c r="E14" s="13">
        <f>SUM(C6:C14)/($B$6+SUM(D6:D14))</f>
        <v>0.93181818181818177</v>
      </c>
    </row>
    <row r="15" spans="1:5" x14ac:dyDescent="0.25">
      <c r="A15" s="14">
        <v>10</v>
      </c>
      <c r="B15" s="10">
        <f t="shared" si="0"/>
        <v>6</v>
      </c>
      <c r="C15" s="10">
        <v>6</v>
      </c>
      <c r="D15" s="9">
        <v>0</v>
      </c>
      <c r="E15" s="13">
        <f>SUM(C6:C15)/($B$6+SUM(D6:D15))</f>
        <v>1</v>
      </c>
    </row>
    <row r="16" spans="1:5" x14ac:dyDescent="0.25">
      <c r="E16" s="13"/>
    </row>
  </sheetData>
  <mergeCells count="4">
    <mergeCell ref="A2:D2"/>
    <mergeCell ref="A4:A5"/>
    <mergeCell ref="E4:E5"/>
    <mergeCell ref="B4:D4"/>
  </mergeCells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Process Definition</vt:lpstr>
      <vt:lpstr>Product Backlog</vt:lpstr>
      <vt:lpstr>Sprint Backlog</vt:lpstr>
      <vt:lpstr>BurndownCharts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Jungho Kim</dc:creator>
  <cp:lastModifiedBy>민욱 김</cp:lastModifiedBy>
  <dcterms:created xsi:type="dcterms:W3CDTF">2024-03-11T10:41:08Z</dcterms:created>
  <dcterms:modified xsi:type="dcterms:W3CDTF">2026-04-29T06:19:08Z</dcterms:modified>
</cp:coreProperties>
</file>